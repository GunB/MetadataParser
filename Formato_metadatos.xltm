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ltoscano\Documents\Plantillas personalizadas de Office\"/>
    </mc:Choice>
  </mc:AlternateContent>
  <bookViews>
    <workbookView xWindow="0" yWindow="0" windowWidth="20490" windowHeight="7755"/>
  </bookViews>
  <sheets>
    <sheet name="Configuracion" sheetId="25" r:id="rId1"/>
    <sheet name="Lección" sheetId="11" r:id="rId2"/>
    <sheet name="Objeto" sheetId="1" r:id="rId3"/>
    <sheet name="Recurso1" sheetId="12" r:id="rId4"/>
    <sheet name="Recurso2" sheetId="19" r:id="rId5"/>
    <sheet name="Recurso3" sheetId="20" r:id="rId6"/>
    <sheet name="Recurso4" sheetId="21" r:id="rId7"/>
    <sheet name="Recurso5" sheetId="22" r:id="rId8"/>
    <sheet name="Recurso6" sheetId="23" r:id="rId9"/>
    <sheet name="Recurso7" sheetId="24" r:id="rId10"/>
  </sheet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6" i="1" l="1"/>
  <c r="B3" i="25" l="1"/>
  <c r="C3" i="25" s="1"/>
  <c r="B4" i="25"/>
  <c r="C4" i="25" s="1"/>
  <c r="B4" i="1"/>
  <c r="B8" i="25"/>
  <c r="B4" i="24" l="1"/>
  <c r="B4" i="23"/>
  <c r="B4" i="22"/>
  <c r="B4" i="21"/>
  <c r="B4" i="20"/>
  <c r="B4" i="19"/>
  <c r="B4" i="12"/>
  <c r="B3" i="1"/>
  <c r="B3" i="24" s="1"/>
  <c r="B14" i="25"/>
  <c r="B12" i="25"/>
  <c r="B7" i="1"/>
  <c r="B11" i="25"/>
  <c r="B9" i="25"/>
  <c r="B13" i="25"/>
  <c r="B10" i="25"/>
  <c r="B4" i="11"/>
  <c r="B7" i="23" l="1"/>
  <c r="B7" i="19"/>
  <c r="B7" i="21"/>
  <c r="B7" i="24"/>
  <c r="B7" i="20"/>
  <c r="B7" i="22"/>
  <c r="B7" i="12"/>
  <c r="B5" i="1"/>
  <c r="B5" i="24"/>
  <c r="B5" i="12"/>
  <c r="B5" i="22"/>
  <c r="B5" i="21"/>
  <c r="B5" i="11"/>
  <c r="B5" i="23"/>
  <c r="B5" i="19"/>
  <c r="B5" i="20"/>
  <c r="C14" i="25"/>
  <c r="C12" i="25"/>
  <c r="B3" i="21"/>
  <c r="B3" i="22"/>
  <c r="B3" i="19"/>
  <c r="B3" i="23"/>
  <c r="B3" i="12"/>
  <c r="B3" i="20"/>
  <c r="B9" i="1" l="1"/>
</calcChain>
</file>

<file path=xl/sharedStrings.xml><?xml version="1.0" encoding="utf-8"?>
<sst xmlns="http://schemas.openxmlformats.org/spreadsheetml/2006/main" count="134" uniqueCount="58">
  <si>
    <t>Título</t>
  </si>
  <si>
    <t>Descripción</t>
  </si>
  <si>
    <t>Palabras Claves</t>
  </si>
  <si>
    <t>Objetivo de Aprendizaje
 (Learning Goal)</t>
  </si>
  <si>
    <t>Pregunta Detonante
(Trigger Question)</t>
  </si>
  <si>
    <t>Aspectos Pedagógicos 
(Pedagogical Aspects)</t>
  </si>
  <si>
    <t>Sugerencia de Uso
(Recommended Use)</t>
  </si>
  <si>
    <t>FORMATO METADATOS (OBJETO)</t>
  </si>
  <si>
    <t>FORMATO METADATOS (LECCIÓN)</t>
  </si>
  <si>
    <t>FORMATO METADATOS (RECURSO 1)</t>
  </si>
  <si>
    <t>FORMATO METADATOS (RECURSO 2)</t>
  </si>
  <si>
    <t>FORMATO METADATOS (RECURSO 3)</t>
  </si>
  <si>
    <t>FORMATO METADATOS (RECURSO 4)</t>
  </si>
  <si>
    <t>FORMATO METADATOS (RECURSO 5)</t>
  </si>
  <si>
    <t>FORMATO METADATOS (RECURSO 6)</t>
  </si>
  <si>
    <t>FORMATO METADATOS (RECURSO 7)</t>
  </si>
  <si>
    <t>Nomenclatura</t>
  </si>
  <si>
    <t>re1</t>
  </si>
  <si>
    <t>re2</t>
  </si>
  <si>
    <t>re3</t>
  </si>
  <si>
    <t>re4</t>
  </si>
  <si>
    <t>re5</t>
  </si>
  <si>
    <t>re6</t>
  </si>
  <si>
    <t>re7</t>
  </si>
  <si>
    <t xml:space="preserve"> </t>
  </si>
  <si>
    <t xml:space="preserve">
Instrucciones de 
diligenciamiento para el autor del contenido</t>
  </si>
  <si>
    <t xml:space="preserve">Este recurso tiene la intención de motivar al aprendiz mediante la presentación de un tema y establecer una relación entre  el conocimiento previo y el nuevo.
</t>
  </si>
  <si>
    <t>Este recurso permite al aprendiz trabajar en la gramática y vocabulario relacionado con las funciones comunicativas presentadas en el objeto de aprendizaje.</t>
  </si>
  <si>
    <t xml:space="preserve">Este recurso le permite al aprendiz trabajar en la pronunciación, en conformidad con las funciones comunicativas presentadas en el objeto de aprendizaje. 
</t>
  </si>
  <si>
    <t>Este recurso permite al aprendiz afianzar su proceso de aprendizaje en contextos en los que se encuentra fuera de linea, en clase o fuera de ella .</t>
  </si>
  <si>
    <t>1. Completar cada celda con la información requerida.
2. En la celda Descripción (el texto en negro debajo del ejemplo) es una plantilla que debe ser modificada llenando los espacios en rojo y completando el párrafo, según corresponda al contenido del objeto trabajado. 
3. Verificar la coherencia del texto y su completitud.
4. Verificar y garantizar redacción y ortografía.
5. Diligenciar cada celda en fuente Verdana 12 puntos en color negro.</t>
  </si>
  <si>
    <t>1. Completar cada celda con la información requerida
2. La celda del Título correponde al tilulo del recurso. 
3. En la celda Descripción (el texto en negro debajo del ejemplo) es una plantilla que debe ser modificada llenando los espacios en rojo y completando el párrafo , según corresponda al contenido del objeto trabajado. 4. Verificar la coherencia del texto y su completitud.
5. Verificar y garantizar redacción y ortografía.
6. Diligenciar cada celda en fuente Verdana 12 puntos en color negro.</t>
  </si>
  <si>
    <t>1. Completar cada celda con la información requerida
2. La celda del Título correponde al tilulo del recurso. 
3. En la celda Descripción (el texto en negro debajo del ejemplo) es una plantilla que debe ser modificada llenando los espacios en rojo y completando el párrafo , según corresponda al contenido del objeto trabajado. 5. Verificar la coherencia del texto y su completitud.
4. Verificar y garantizar redacción y ortografía.
5. Diligenciar cada celda en fuente Verdana 12 puntos en color negro.</t>
  </si>
  <si>
    <t>Este objeto digital puede ser usado como una actividad práctica de punto de partida para desarrollar habilidades comunicativas de la vida diaria. El instructor puede trabajar con actividades y tareas como estas, con el fin de ayudar a los estudiantes a mejorar su conocimiento procedimental.</t>
  </si>
  <si>
    <t xml:space="preserve">Este recurso educativo digital puede ser usado como una actividad de calentamiento para motivar al aprendiz y presentar un tema que le permita establecer una relación entre  el conocimiento previo y el nuevo.
</t>
  </si>
  <si>
    <t>Este recurso tiene la intención de activar los conocimientos lingüísticos para el establecimiento de nuevas relaciones que permitan al aprendiz ir más allá de su conocimiento declarativo.</t>
  </si>
  <si>
    <t xml:space="preserve">Este recurso digital educativo se puede utilizar como una actividad para el establecimiento de nuevas relaciones, que permitan al aprendiz a ir más allá de su conocimiento declarativo.
</t>
  </si>
  <si>
    <t xml:space="preserve">Este recurso educativo digital puede usarse como una actividad de práctica para trabajar en gramática y vocabulario.
</t>
  </si>
  <si>
    <t xml:space="preserve">Este recurso educativo digital puede usarse como una actividad de práctica para trabajar en pronunciación. 
</t>
  </si>
  <si>
    <t>ste recurso educativo digital puede usarse como una actividad de práctica para trabajar en gramática y vocabulario.</t>
  </si>
  <si>
    <t>Este recurso permite al aprendiz evaluar continuamente sus logros en español de acuerdo con los resultados de aprendizaje.</t>
  </si>
  <si>
    <t>Este recurso educativo digital puede usarse para evaluar lo que el aprendiz ha visto a lo largo del objeto.</t>
  </si>
  <si>
    <t xml:space="preserve">Este recurso educativo digital imprimible permite al aprendiz continuar con su proceso de aprendizaje fuera de linea, en un formato que contiene el desarrollo de la temática expuesta en el objeto virtual. </t>
  </si>
  <si>
    <t>Numero Leccion</t>
  </si>
  <si>
    <t>Numero Objeto</t>
  </si>
  <si>
    <t>Dirección Silabo</t>
  </si>
  <si>
    <t>Nombre Nivel</t>
  </si>
  <si>
    <t>Resultado de Aprendizaje</t>
  </si>
  <si>
    <t>Matriz Objetos</t>
  </si>
  <si>
    <t>$A$17:$K$25</t>
  </si>
  <si>
    <t>Funcion Comunicativa Leccion</t>
  </si>
  <si>
    <t>Funcion Comunicativa Objeto</t>
  </si>
  <si>
    <t>Gramatica Objeto</t>
  </si>
  <si>
    <t>Aspectos Culturales Objeto</t>
  </si>
  <si>
    <t>Vocabulario Objeto</t>
  </si>
  <si>
    <t>[es_silabo.xlsx]</t>
  </si>
  <si>
    <t>esnxlexx</t>
  </si>
  <si>
    <t>obxx</t>
  </si>
</sst>
</file>

<file path=xl/styles.xml><?xml version="1.0" encoding="utf-8"?>
<styleSheet xmlns="http://schemas.openxmlformats.org/spreadsheetml/2006/main" xmlns:mc="http://schemas.openxmlformats.org/markup-compatibility/2006" xmlns:x14ac="http://schemas.microsoft.com/office/spreadsheetml/2009/9/ac" mc:Ignorable="x14ac">
  <fonts count="11" x14ac:knownFonts="1">
    <font>
      <sz val="11"/>
      <color theme="1"/>
      <name val="Calibri"/>
      <family val="2"/>
      <scheme val="minor"/>
    </font>
    <font>
      <b/>
      <sz val="11"/>
      <color theme="0"/>
      <name val="Calibri"/>
      <family val="2"/>
      <scheme val="minor"/>
    </font>
    <font>
      <b/>
      <sz val="11"/>
      <color theme="1"/>
      <name val="Calibri"/>
      <family val="2"/>
      <scheme val="minor"/>
    </font>
    <font>
      <b/>
      <sz val="11"/>
      <color rgb="FF00B050"/>
      <name val="Calibri"/>
      <family val="2"/>
      <scheme val="minor"/>
    </font>
    <font>
      <b/>
      <sz val="18"/>
      <color rgb="FF00B050"/>
      <name val="Calibri"/>
      <family val="2"/>
      <scheme val="minor"/>
    </font>
    <font>
      <sz val="12"/>
      <color theme="1"/>
      <name val="Verdana"/>
      <family val="2"/>
    </font>
    <font>
      <sz val="12"/>
      <color theme="0" tint="-0.499984740745262"/>
      <name val="Verdana"/>
      <family val="2"/>
    </font>
    <font>
      <sz val="11"/>
      <color rgb="FFFFC000"/>
      <name val="Calibri"/>
      <family val="2"/>
      <scheme val="minor"/>
    </font>
    <font>
      <b/>
      <sz val="16"/>
      <color theme="1"/>
      <name val="Calibri"/>
      <family val="2"/>
      <scheme val="minor"/>
    </font>
    <font>
      <sz val="12"/>
      <name val="Verdana"/>
      <family val="2"/>
    </font>
    <font>
      <sz val="11"/>
      <color rgb="FF000000"/>
      <name val="Calibri"/>
      <family val="2"/>
    </font>
  </fonts>
  <fills count="6">
    <fill>
      <patternFill patternType="none"/>
    </fill>
    <fill>
      <patternFill patternType="gray125"/>
    </fill>
    <fill>
      <patternFill patternType="solid">
        <fgColor rgb="FF00B050"/>
        <bgColor indexed="64"/>
      </patternFill>
    </fill>
    <fill>
      <patternFill patternType="solid">
        <fgColor theme="0" tint="-4.9989318521683403E-2"/>
        <bgColor indexed="64"/>
      </patternFill>
    </fill>
    <fill>
      <patternFill patternType="solid">
        <fgColor theme="2" tint="-0.749992370372631"/>
        <bgColor indexed="64"/>
      </patternFill>
    </fill>
    <fill>
      <patternFill patternType="solid">
        <fgColor theme="4" tint="-0.249977111117893"/>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indexed="64"/>
      </left>
      <right/>
      <top/>
      <bottom/>
      <diagonal/>
    </border>
  </borders>
  <cellStyleXfs count="1">
    <xf numFmtId="0" fontId="0" fillId="0" borderId="0"/>
  </cellStyleXfs>
  <cellXfs count="37">
    <xf numFmtId="0" fontId="0" fillId="0" borderId="0" xfId="0"/>
    <xf numFmtId="0" fontId="0" fillId="0" borderId="0" xfId="0" applyBorder="1"/>
    <xf numFmtId="0" fontId="1" fillId="2" borderId="1" xfId="0" applyFont="1" applyFill="1" applyBorder="1" applyAlignment="1">
      <alignment horizontal="center" vertical="center"/>
    </xf>
    <xf numFmtId="0" fontId="1" fillId="2" borderId="1" xfId="0" applyFont="1" applyFill="1" applyBorder="1" applyAlignment="1">
      <alignment horizontal="center" vertical="center" wrapText="1"/>
    </xf>
    <xf numFmtId="0" fontId="2" fillId="0" borderId="0" xfId="0" applyFont="1"/>
    <xf numFmtId="0" fontId="2" fillId="0" borderId="0" xfId="0" applyFont="1" applyBorder="1"/>
    <xf numFmtId="0" fontId="1" fillId="0" borderId="0" xfId="0" applyFont="1" applyFill="1" applyBorder="1" applyAlignment="1">
      <alignment horizontal="center" vertical="center"/>
    </xf>
    <xf numFmtId="0" fontId="0" fillId="0" borderId="0" xfId="0" applyFill="1" applyBorder="1" applyAlignment="1">
      <alignment horizontal="center" vertical="center"/>
    </xf>
    <xf numFmtId="0" fontId="4" fillId="0" borderId="0" xfId="0" applyFont="1" applyFill="1" applyBorder="1" applyAlignment="1">
      <alignment horizontal="center" vertical="center"/>
    </xf>
    <xf numFmtId="0" fontId="0" fillId="0" borderId="0" xfId="0" applyFill="1" applyBorder="1" applyAlignment="1">
      <alignment horizontal="left" vertical="center" wrapText="1" indent="1"/>
    </xf>
    <xf numFmtId="0" fontId="1" fillId="0" borderId="0" xfId="0" applyFont="1" applyFill="1" applyBorder="1" applyAlignment="1">
      <alignment horizontal="center" vertical="center" wrapText="1"/>
    </xf>
    <xf numFmtId="0" fontId="5" fillId="0" borderId="1" xfId="0" applyFont="1" applyBorder="1" applyAlignment="1">
      <alignment horizontal="left" vertical="center"/>
    </xf>
    <xf numFmtId="0" fontId="5" fillId="0" borderId="1" xfId="0" applyFont="1" applyBorder="1" applyAlignment="1">
      <alignment horizontal="left" vertical="center" wrapText="1"/>
    </xf>
    <xf numFmtId="0" fontId="6" fillId="3" borderId="1" xfId="0" applyFont="1" applyFill="1" applyBorder="1" applyAlignment="1">
      <alignment horizontal="right" vertical="center"/>
    </xf>
    <xf numFmtId="0" fontId="6" fillId="3" borderId="1" xfId="0" applyFont="1" applyFill="1" applyBorder="1" applyAlignment="1">
      <alignment horizontal="left" vertical="center"/>
    </xf>
    <xf numFmtId="0" fontId="8" fillId="0" borderId="1" xfId="0" applyFont="1" applyBorder="1" applyAlignment="1">
      <alignment horizontal="center" vertical="top" wrapText="1"/>
    </xf>
    <xf numFmtId="0" fontId="7" fillId="4" borderId="1" xfId="0" applyFont="1" applyFill="1" applyBorder="1" applyAlignment="1">
      <alignment vertical="top" wrapText="1"/>
    </xf>
    <xf numFmtId="0" fontId="0" fillId="5" borderId="1" xfId="0" applyFont="1" applyFill="1" applyBorder="1" applyAlignment="1">
      <alignment vertical="top" wrapText="1"/>
    </xf>
    <xf numFmtId="0" fontId="9" fillId="0" borderId="1" xfId="0" applyFont="1" applyBorder="1" applyAlignment="1">
      <alignment horizontal="center" vertical="center"/>
    </xf>
    <xf numFmtId="0" fontId="0" fillId="0" borderId="0" xfId="0" quotePrefix="1"/>
    <xf numFmtId="0" fontId="0" fillId="0" borderId="0" xfId="0" applyAlignment="1">
      <alignment wrapText="1"/>
    </xf>
    <xf numFmtId="0" fontId="4" fillId="0" borderId="0" xfId="0" applyFont="1" applyFill="1" applyAlignment="1">
      <alignment horizontal="center"/>
    </xf>
    <xf numFmtId="0" fontId="3" fillId="0" borderId="0" xfId="0" applyFont="1" applyFill="1" applyAlignment="1">
      <alignment horizontal="center"/>
    </xf>
    <xf numFmtId="0" fontId="5" fillId="0" borderId="2" xfId="0" applyFont="1" applyBorder="1" applyAlignment="1">
      <alignment horizontal="left" vertical="top" wrapText="1"/>
    </xf>
    <xf numFmtId="0" fontId="5" fillId="0" borderId="3" xfId="0" applyFont="1" applyBorder="1" applyAlignment="1">
      <alignment horizontal="left" vertical="top"/>
    </xf>
    <xf numFmtId="0" fontId="5" fillId="0" borderId="2" xfId="0" applyFont="1" applyBorder="1" applyAlignment="1">
      <alignment horizontal="left" vertical="center" wrapText="1"/>
    </xf>
    <xf numFmtId="0" fontId="5" fillId="0" borderId="3" xfId="0" applyFont="1" applyBorder="1" applyAlignment="1">
      <alignment horizontal="left" vertical="center" wrapText="1"/>
    </xf>
    <xf numFmtId="0" fontId="5" fillId="0" borderId="3" xfId="0" applyFont="1" applyBorder="1" applyAlignment="1">
      <alignment horizontal="left" vertical="center"/>
    </xf>
    <xf numFmtId="0" fontId="9" fillId="0" borderId="2" xfId="0" applyFont="1" applyBorder="1" applyAlignment="1">
      <alignment horizontal="left" vertical="center" wrapText="1"/>
    </xf>
    <xf numFmtId="0" fontId="9" fillId="0" borderId="3" xfId="0" applyFont="1" applyBorder="1" applyAlignment="1">
      <alignment horizontal="left" vertical="center"/>
    </xf>
    <xf numFmtId="0" fontId="5" fillId="0" borderId="2" xfId="0" applyFont="1" applyBorder="1" applyAlignment="1">
      <alignment horizontal="left" vertical="center"/>
    </xf>
    <xf numFmtId="0" fontId="5" fillId="0" borderId="2" xfId="0" applyFont="1" applyBorder="1" applyAlignment="1">
      <alignment horizontal="center" vertical="center"/>
    </xf>
    <xf numFmtId="0" fontId="5" fillId="0" borderId="3" xfId="0" applyFont="1" applyBorder="1" applyAlignment="1"/>
    <xf numFmtId="0" fontId="7" fillId="4" borderId="4" xfId="0" applyFont="1" applyFill="1" applyBorder="1" applyAlignment="1">
      <alignment horizontal="left" vertical="top" wrapText="1"/>
    </xf>
    <xf numFmtId="0" fontId="7" fillId="4" borderId="5" xfId="0" applyFont="1" applyFill="1" applyBorder="1" applyAlignment="1">
      <alignment horizontal="left" vertical="top" wrapText="1"/>
    </xf>
    <xf numFmtId="0" fontId="5" fillId="0" borderId="6" xfId="0" applyFont="1" applyBorder="1" applyAlignment="1">
      <alignment horizontal="left" vertical="center" wrapText="1"/>
    </xf>
    <xf numFmtId="0" fontId="5" fillId="0" borderId="0" xfId="0" applyFont="1" applyBorder="1" applyAlignment="1">
      <alignment horizontal="left" vertical="center" wrapText="1"/>
    </xf>
  </cellXfs>
  <cellStyles count="1">
    <cellStyle name="Normal" xfId="0" builtinId="0"/>
  </cellStyles>
  <dxfs count="0"/>
  <tableStyles count="0" defaultTableStyle="TableStyleMedium2" defaultPivotStyle="PivotStyleLight16"/>
  <colors>
    <mruColors>
      <color rgb="FF00964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2</xdr:row>
          <xdr:rowOff>0</xdr:rowOff>
        </xdr:from>
        <xdr:to>
          <xdr:col>6</xdr:col>
          <xdr:colOff>9525</xdr:colOff>
          <xdr:row>3</xdr:row>
          <xdr:rowOff>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rPr>
                <a:t>Convertir a Texto Editable</a:t>
              </a:r>
            </a:p>
          </xdr:txBody>
        </xdr:sp>
        <xdr:clientData fPrintsWithSheet="0"/>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3:C14"/>
  <sheetViews>
    <sheetView tabSelected="1" workbookViewId="0">
      <selection activeCell="B10" sqref="B10"/>
    </sheetView>
  </sheetViews>
  <sheetFormatPr baseColWidth="10" defaultRowHeight="15" x14ac:dyDescent="0.25"/>
  <cols>
    <col min="1" max="1" width="28.140625" customWidth="1"/>
    <col min="2" max="2" width="56.85546875" customWidth="1"/>
    <col min="3" max="3" width="21.85546875" customWidth="1"/>
  </cols>
  <sheetData>
    <row r="3" spans="1:3" x14ac:dyDescent="0.25">
      <c r="A3" t="s">
        <v>43</v>
      </c>
      <c r="B3" t="str">
        <f>RIGHT(Lección!B3,2)</f>
        <v>xx</v>
      </c>
      <c r="C3" t="str">
        <f>IF(EXACT(LEFT(B3,1),0), RIGHT(B3,1), B3)</f>
        <v>xx</v>
      </c>
    </row>
    <row r="4" spans="1:3" x14ac:dyDescent="0.25">
      <c r="A4" t="s">
        <v>44</v>
      </c>
      <c r="B4" t="str">
        <f>RIGHT(Objeto!C3,2)</f>
        <v>xx</v>
      </c>
      <c r="C4" t="str">
        <f>IF(EXACT(LEFT(B4,1),0), RIGHT(B4,1), B4)</f>
        <v>xx</v>
      </c>
    </row>
    <row r="6" spans="1:3" x14ac:dyDescent="0.25">
      <c r="A6" t="s">
        <v>45</v>
      </c>
      <c r="B6" s="19" t="s">
        <v>55</v>
      </c>
    </row>
    <row r="7" spans="1:3" x14ac:dyDescent="0.25">
      <c r="A7" t="s">
        <v>48</v>
      </c>
      <c r="B7" t="s">
        <v>49</v>
      </c>
    </row>
    <row r="8" spans="1:3" x14ac:dyDescent="0.25">
      <c r="A8" t="s">
        <v>46</v>
      </c>
      <c r="B8" t="e">
        <f ca="1">TRIM(INDIRECT(CONCATENATE("'",B6, "LECCIÓN ",C3,"'!","C2")))</f>
        <v>#REF!</v>
      </c>
    </row>
    <row r="9" spans="1:3" ht="71.25" customHeight="1" x14ac:dyDescent="0.25">
      <c r="A9" t="s">
        <v>50</v>
      </c>
      <c r="B9" s="20" t="e">
        <f ca="1">CLEAN(TRIM(INDIRECT(CONCATENATE("'",B6, "LECCIÓN ",C3,"'!","D12"))))</f>
        <v>#REF!</v>
      </c>
    </row>
    <row r="10" spans="1:3" ht="81" customHeight="1" x14ac:dyDescent="0.25">
      <c r="A10" t="s">
        <v>47</v>
      </c>
      <c r="B10" s="20" t="e">
        <f ca="1">CLEAN(TRIM(INDIRECT(CONCATENATE("'",B6, "LECCIÓN ",C3,"'!","C12"))))</f>
        <v>#REF!</v>
      </c>
    </row>
    <row r="11" spans="1:3" x14ac:dyDescent="0.25">
      <c r="A11" t="s">
        <v>51</v>
      </c>
      <c r="B11" s="20" t="e">
        <f ca="1">CLEAN(TRIM(VLOOKUP(CONCATENATE("OA",Configuracion!C4),INDIRECT(CONCATENATE("'",Configuracion!B6,"LECCIÓN ",Configuracion!C3,"'!",Configuracion!B7)),4)))</f>
        <v>#REF!</v>
      </c>
    </row>
    <row r="12" spans="1:3" ht="86.25" customHeight="1" x14ac:dyDescent="0.25">
      <c r="A12" t="s">
        <v>52</v>
      </c>
      <c r="B12" s="20" t="e">
        <f ca="1">TRIM(VLOOKUP(CONCATENATE("OA",Configuracion!C4),INDIRECT(CONCATENATE("'",Configuracion!B6,"LECCIÓN ",Configuracion!C3,"'!",Configuracion!B7)),6))</f>
        <v>#REF!</v>
      </c>
      <c r="C12" s="20" t="e">
        <f ca="1">CLEAN(TRIM(LEFT(B12, FIND("i.e",B12)-1)))</f>
        <v>#REF!</v>
      </c>
    </row>
    <row r="13" spans="1:3" x14ac:dyDescent="0.25">
      <c r="A13" t="s">
        <v>53</v>
      </c>
      <c r="B13" t="e">
        <f ca="1">TRIM(VLOOKUP(CONCATENATE("OA",Configuracion!C4),INDIRECT(CONCATENATE("'",Configuracion!B6,"LECCIÓN ",Configuracion!C3,"'!",Configuracion!B7)),11))</f>
        <v>#REF!</v>
      </c>
    </row>
    <row r="14" spans="1:3" ht="155.25" customHeight="1" x14ac:dyDescent="0.25">
      <c r="A14" t="s">
        <v>54</v>
      </c>
      <c r="B14" s="20" t="e">
        <f ca="1">TRIM(VLOOKUP(CONCATENATE("OA",Configuracion!C4),INDIRECT(CONCATENATE("'",Configuracion!B6,"LECCIÓN ",Configuracion!C3,"'!",Configuracion!B7)),7))</f>
        <v>#REF!</v>
      </c>
      <c r="C14" s="20" t="e">
        <f ca="1">CLEAN(TRIM(LEFT(B14, FIND("i.e",B14)-1)))</f>
        <v>#REF!</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H17"/>
  <sheetViews>
    <sheetView zoomScaleNormal="100" workbookViewId="0">
      <selection activeCell="B5" sqref="B5"/>
    </sheetView>
  </sheetViews>
  <sheetFormatPr baseColWidth="10" defaultRowHeight="15" x14ac:dyDescent="0.25"/>
  <cols>
    <col min="1" max="1" width="32.5703125" customWidth="1"/>
    <col min="2" max="2" width="92" customWidth="1"/>
    <col min="3" max="3" width="11.42578125" customWidth="1"/>
  </cols>
  <sheetData>
    <row r="1" spans="1:8" ht="23.25" x14ac:dyDescent="0.35">
      <c r="A1" s="21" t="s">
        <v>8</v>
      </c>
      <c r="B1" s="22"/>
    </row>
    <row r="2" spans="1:8" ht="111" customHeight="1" x14ac:dyDescent="0.25">
      <c r="A2" s="15" t="s">
        <v>25</v>
      </c>
      <c r="B2" s="16" t="s">
        <v>30</v>
      </c>
    </row>
    <row r="3" spans="1:8" ht="24.75" customHeight="1" x14ac:dyDescent="0.25">
      <c r="A3" s="2" t="s">
        <v>16</v>
      </c>
      <c r="B3" s="11" t="s">
        <v>56</v>
      </c>
    </row>
    <row r="4" spans="1:8" ht="30" customHeight="1" x14ac:dyDescent="0.25">
      <c r="A4" s="2" t="s">
        <v>0</v>
      </c>
      <c r="B4" s="18" t="e">
        <f ca="1">TRIM(INDIRECT(CONCATENATE("'",Configuracion!B6, "LECCIÓN ",Configuracion!C3,"'!","B12")))</f>
        <v>#REF!</v>
      </c>
    </row>
    <row r="5" spans="1:8" ht="152.25" customHeight="1" x14ac:dyDescent="0.25">
      <c r="A5" s="2" t="s">
        <v>1</v>
      </c>
      <c r="B5" s="12" t="e">
        <f ca="1">CLEAN(CONCATENATE("En esta lección """,B4,""", la cual pertenece al nivel """,Configuracion!B8,""", de la enseñanza del español como segunda lengua, el aprendiz ", Configuracion!B9, "Una vez terminado el objeto, el aprendiz: ", Configuracion!B10))</f>
        <v>#REF!</v>
      </c>
    </row>
    <row r="6" spans="1:8" x14ac:dyDescent="0.25">
      <c r="A6" s="6"/>
      <c r="B6" s="7"/>
    </row>
    <row r="7" spans="1:8" ht="12.75" customHeight="1" x14ac:dyDescent="0.25">
      <c r="A7" s="8"/>
      <c r="B7" s="7"/>
    </row>
    <row r="8" spans="1:8" ht="15" customHeight="1" x14ac:dyDescent="0.25">
      <c r="A8" s="6"/>
      <c r="B8" s="7"/>
    </row>
    <row r="9" spans="1:8" x14ac:dyDescent="0.25">
      <c r="A9" s="6"/>
      <c r="B9" s="7"/>
    </row>
    <row r="10" spans="1:8" x14ac:dyDescent="0.25">
      <c r="A10" s="6"/>
      <c r="B10" s="7"/>
    </row>
    <row r="11" spans="1:8" x14ac:dyDescent="0.25">
      <c r="A11" s="6"/>
      <c r="B11" s="9"/>
    </row>
    <row r="12" spans="1:8" x14ac:dyDescent="0.25">
      <c r="A12" s="6"/>
      <c r="B12" s="7"/>
    </row>
    <row r="13" spans="1:8" x14ac:dyDescent="0.25">
      <c r="A13" s="10"/>
      <c r="B13" s="7"/>
    </row>
    <row r="14" spans="1:8" x14ac:dyDescent="0.25">
      <c r="A14" s="10"/>
      <c r="B14" s="7"/>
    </row>
    <row r="15" spans="1:8" x14ac:dyDescent="0.25">
      <c r="A15" s="1"/>
      <c r="B15" s="1"/>
      <c r="C15" s="1"/>
      <c r="D15" s="1"/>
      <c r="E15" s="1"/>
      <c r="F15" s="1"/>
      <c r="G15" s="1"/>
      <c r="H15" s="1"/>
    </row>
    <row r="16" spans="1:8" x14ac:dyDescent="0.25">
      <c r="A16" s="1"/>
      <c r="B16" s="5"/>
      <c r="C16" s="1"/>
      <c r="D16" s="1"/>
      <c r="E16" s="1"/>
      <c r="F16" s="1"/>
      <c r="G16" s="1"/>
      <c r="H16" s="1"/>
    </row>
    <row r="17" spans="2:2" x14ac:dyDescent="0.25">
      <c r="B17" s="4"/>
    </row>
  </sheetData>
  <mergeCells count="1">
    <mergeCell ref="A1:B1"/>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
  <dimension ref="A1:C13"/>
  <sheetViews>
    <sheetView zoomScaleNormal="100" workbookViewId="0">
      <selection activeCell="B4" sqref="B4:C4"/>
    </sheetView>
  </sheetViews>
  <sheetFormatPr baseColWidth="10" defaultRowHeight="15" x14ac:dyDescent="0.25"/>
  <cols>
    <col min="1" max="1" width="22.85546875" customWidth="1"/>
    <col min="2" max="2" width="26.42578125" customWidth="1"/>
    <col min="3" max="3" width="65.7109375" customWidth="1"/>
    <col min="6" max="6" width="30.42578125" customWidth="1"/>
  </cols>
  <sheetData>
    <row r="1" spans="1:3" ht="23.25" x14ac:dyDescent="0.35">
      <c r="A1" s="21" t="s">
        <v>7</v>
      </c>
      <c r="B1" s="21"/>
      <c r="C1" s="21"/>
    </row>
    <row r="2" spans="1:3" ht="158.25" customHeight="1" x14ac:dyDescent="0.25">
      <c r="B2" s="15" t="s">
        <v>25</v>
      </c>
      <c r="C2" s="17" t="s">
        <v>30</v>
      </c>
    </row>
    <row r="3" spans="1:3" ht="51" customHeight="1" x14ac:dyDescent="0.25">
      <c r="A3" s="2" t="s">
        <v>16</v>
      </c>
      <c r="B3" s="13" t="str">
        <f>IF(Lección!B3&lt;&gt;0,Lección!B3,"")</f>
        <v>esnxlexx</v>
      </c>
      <c r="C3" s="11" t="s">
        <v>57</v>
      </c>
    </row>
    <row r="4" spans="1:3" ht="58.5" customHeight="1" x14ac:dyDescent="0.25">
      <c r="A4" s="2" t="s">
        <v>0</v>
      </c>
      <c r="B4" s="28" t="e">
        <f ca="1">TRIM(VLOOKUP(CONCATENATE("OA",Configuracion!C4),INDIRECT(CONCATENATE("'",Configuracion!B6,"LECCIÓN ",Configuracion!C3,"'!",Configuracion!B7)),2))</f>
        <v>#REF!</v>
      </c>
      <c r="C4" s="29"/>
    </row>
    <row r="5" spans="1:3" ht="144.75" customHeight="1" x14ac:dyDescent="0.25">
      <c r="A5" s="2" t="s">
        <v>1</v>
      </c>
      <c r="B5" s="25" t="e">
        <f ca="1">CONCATENATE("En este objeto de aprendizaje """,B4,""", que forma parte de la lección No. ",Configuracion!C3," """,Lección!B4,""" la cual pertenece a su vez al nivel """,Configuracion!B8,""" de la enseñanza del español como segunda lengua, el aprendiz: ", Configuracion!B11, "Una vez terminado el objeto, el aprendiz: ",B7)</f>
        <v>#REF!</v>
      </c>
      <c r="C5" s="26"/>
    </row>
    <row r="6" spans="1:3" ht="71.25" customHeight="1" x14ac:dyDescent="0.25">
      <c r="A6" s="2" t="s">
        <v>2</v>
      </c>
      <c r="B6" s="30" t="str">
        <f>CONCATENATE(Recurso1!B6,",",Recurso2!B6,",",Recurso3!B6,",",Recurso4!B6,",",Recurso5!B6,",",Recurso6!B6,",",Recurso7!B6,",",)</f>
        <v>,,,,,,,</v>
      </c>
      <c r="C6" s="27"/>
    </row>
    <row r="7" spans="1:3" ht="48.75" customHeight="1" x14ac:dyDescent="0.25">
      <c r="A7" s="3" t="s">
        <v>3</v>
      </c>
      <c r="B7" s="25" t="e">
        <f ca="1">CLEAN(TRIM(VLOOKUP(CONCATENATE("OA",Configuracion!C4),INDIRECT(CONCATENATE("'",Configuracion!B6,"LECCIÓN ",Configuracion!C3,"'!",Configuracion!B7)),3)))</f>
        <v>#REF!</v>
      </c>
      <c r="C7" s="26"/>
    </row>
    <row r="8" spans="1:3" ht="69.75" customHeight="1" x14ac:dyDescent="0.25">
      <c r="A8" s="3" t="s">
        <v>4</v>
      </c>
      <c r="B8" s="23"/>
      <c r="C8" s="24"/>
    </row>
    <row r="9" spans="1:3" ht="101.25" customHeight="1" x14ac:dyDescent="0.25">
      <c r="A9" s="3" t="s">
        <v>5</v>
      </c>
      <c r="B9" s="25" t="e">
        <f ca="1">CONCATENATE("Información acerca ",Configuracion!C12," Se presenta en el contexto ",Configuracion!B11, " y ",Configuracion!B13, " Los aprendices estarán expuestos a vocabulario ",Configuracion!C14)</f>
        <v>#REF!</v>
      </c>
      <c r="C9" s="26"/>
    </row>
    <row r="10" spans="1:3" ht="75.75" customHeight="1" x14ac:dyDescent="0.25">
      <c r="A10" s="3" t="s">
        <v>6</v>
      </c>
      <c r="B10" s="25" t="s">
        <v>33</v>
      </c>
      <c r="C10" s="27"/>
    </row>
    <row r="12" spans="1:3" x14ac:dyDescent="0.25">
      <c r="B12" s="4"/>
    </row>
    <row r="13" spans="1:3" x14ac:dyDescent="0.25">
      <c r="B13" s="4"/>
    </row>
  </sheetData>
  <mergeCells count="8">
    <mergeCell ref="B8:C8"/>
    <mergeCell ref="B9:C9"/>
    <mergeCell ref="B10:C10"/>
    <mergeCell ref="A1:C1"/>
    <mergeCell ref="B4:C4"/>
    <mergeCell ref="B5:C5"/>
    <mergeCell ref="B6:C6"/>
    <mergeCell ref="B7:C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Transformar_Texto">
                <anchor moveWithCells="1" sizeWithCells="1">
                  <from>
                    <xdr:col>4</xdr:col>
                    <xdr:colOff>0</xdr:colOff>
                    <xdr:row>2</xdr:row>
                    <xdr:rowOff>0</xdr:rowOff>
                  </from>
                  <to>
                    <xdr:col>6</xdr:col>
                    <xdr:colOff>9525</xdr:colOff>
                    <xdr:row>3</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C13"/>
  <sheetViews>
    <sheetView zoomScaleNormal="100" workbookViewId="0">
      <selection activeCell="B4" sqref="B4:C4"/>
    </sheetView>
  </sheetViews>
  <sheetFormatPr baseColWidth="10" defaultRowHeight="15" x14ac:dyDescent="0.25"/>
  <cols>
    <col min="1" max="1" width="30.85546875" customWidth="1"/>
    <col min="2" max="2" width="66.42578125" customWidth="1"/>
    <col min="3" max="3" width="42.85546875" customWidth="1"/>
  </cols>
  <sheetData>
    <row r="1" spans="1:3" ht="23.25" x14ac:dyDescent="0.35">
      <c r="A1" s="21" t="s">
        <v>9</v>
      </c>
      <c r="B1" s="21"/>
      <c r="C1" s="21"/>
    </row>
    <row r="2" spans="1:3" ht="172.5" customHeight="1" x14ac:dyDescent="0.25">
      <c r="A2" s="15" t="s">
        <v>25</v>
      </c>
      <c r="B2" s="33" t="s">
        <v>31</v>
      </c>
      <c r="C2" s="34"/>
    </row>
    <row r="3" spans="1:3" ht="27.75" customHeight="1" x14ac:dyDescent="0.25">
      <c r="A3" s="2" t="s">
        <v>16</v>
      </c>
      <c r="B3" s="13" t="str">
        <f>CONCATENATE(Objeto!$B$3,Objeto!$C$3)</f>
        <v>esnxlexxobxx</v>
      </c>
      <c r="C3" s="14" t="s">
        <v>17</v>
      </c>
    </row>
    <row r="4" spans="1:3" ht="39" customHeight="1" x14ac:dyDescent="0.25">
      <c r="A4" s="2" t="s">
        <v>0</v>
      </c>
      <c r="B4" s="31" t="e">
        <f ca="1">CONCATENATE(Objeto!B4," - Empecemos")</f>
        <v>#REF!</v>
      </c>
      <c r="C4" s="32"/>
    </row>
    <row r="5" spans="1:3" ht="129.75" customHeight="1" x14ac:dyDescent="0.25">
      <c r="A5" s="2" t="s">
        <v>1</v>
      </c>
      <c r="B5" s="25" t="e">
        <f ca="1">CONCATENATE("Este recurso digital """,B4,""" es el primer recurso del objeto de aprendizaje """,Objeto!B4,""", que a su vez pertenece a la lección No.",Configuracion!C3," """,Lección!B4,""", la cual pertenece al nivel ","""",Configuracion!B8,""" de la enseñanza del español como segunda lengua. La intención de este recurso es presentar la temática que se abordará en el objeto, el resultado del aprendizaje, la función comunicativa y las preguntas detonantes.")</f>
        <v>#REF!</v>
      </c>
      <c r="C5" s="26"/>
    </row>
    <row r="6" spans="1:3" ht="71.25" customHeight="1" x14ac:dyDescent="0.25">
      <c r="A6" s="2" t="s">
        <v>2</v>
      </c>
      <c r="B6" s="30"/>
      <c r="C6" s="27"/>
    </row>
    <row r="7" spans="1:3" ht="48.75" customHeight="1" x14ac:dyDescent="0.25">
      <c r="A7" s="3" t="s">
        <v>3</v>
      </c>
      <c r="B7" s="25" t="e">
        <f ca="1">Objeto!B7</f>
        <v>#REF!</v>
      </c>
      <c r="C7" s="26"/>
    </row>
    <row r="8" spans="1:3" ht="69.75" customHeight="1" x14ac:dyDescent="0.25">
      <c r="A8" s="3" t="s">
        <v>4</v>
      </c>
      <c r="B8" s="25"/>
      <c r="C8" s="27"/>
    </row>
    <row r="9" spans="1:3" ht="54.75" customHeight="1" x14ac:dyDescent="0.25">
      <c r="A9" s="3" t="s">
        <v>5</v>
      </c>
      <c r="B9" s="25" t="s">
        <v>26</v>
      </c>
      <c r="C9" s="26"/>
    </row>
    <row r="10" spans="1:3" ht="72.75" customHeight="1" x14ac:dyDescent="0.25">
      <c r="A10" s="3" t="s">
        <v>6</v>
      </c>
      <c r="B10" s="25" t="s">
        <v>34</v>
      </c>
      <c r="C10" s="27"/>
    </row>
    <row r="12" spans="1:3" x14ac:dyDescent="0.25">
      <c r="B12" s="4"/>
    </row>
    <row r="13" spans="1:3" x14ac:dyDescent="0.25">
      <c r="B13" s="4"/>
    </row>
  </sheetData>
  <mergeCells count="9">
    <mergeCell ref="B8:C8"/>
    <mergeCell ref="B9:C9"/>
    <mergeCell ref="B10:C10"/>
    <mergeCell ref="A1:C1"/>
    <mergeCell ref="B4:C4"/>
    <mergeCell ref="B5:C5"/>
    <mergeCell ref="B6:C6"/>
    <mergeCell ref="B7:C7"/>
    <mergeCell ref="B2:C2"/>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C13"/>
  <sheetViews>
    <sheetView zoomScaleNormal="100" workbookViewId="0">
      <selection activeCell="B4" sqref="B4:C4"/>
    </sheetView>
  </sheetViews>
  <sheetFormatPr baseColWidth="10" defaultRowHeight="15" x14ac:dyDescent="0.25"/>
  <cols>
    <col min="1" max="1" width="30.85546875" customWidth="1"/>
    <col min="2" max="2" width="41" customWidth="1"/>
    <col min="3" max="3" width="42.85546875" customWidth="1"/>
  </cols>
  <sheetData>
    <row r="1" spans="1:3" ht="23.25" x14ac:dyDescent="0.35">
      <c r="A1" s="21" t="s">
        <v>10</v>
      </c>
      <c r="B1" s="21"/>
      <c r="C1" s="21"/>
    </row>
    <row r="2" spans="1:3" ht="183.75" customHeight="1" x14ac:dyDescent="0.25">
      <c r="A2" s="15" t="s">
        <v>25</v>
      </c>
      <c r="B2" s="33" t="s">
        <v>32</v>
      </c>
      <c r="C2" s="34"/>
    </row>
    <row r="3" spans="1:3" ht="27.75" customHeight="1" x14ac:dyDescent="0.25">
      <c r="A3" s="2" t="s">
        <v>16</v>
      </c>
      <c r="B3" s="13" t="str">
        <f>CONCATENATE(Objeto!$B$3,Objeto!$C$3)</f>
        <v>esnxlexxobxx</v>
      </c>
      <c r="C3" s="14" t="s">
        <v>18</v>
      </c>
    </row>
    <row r="4" spans="1:3" ht="39" customHeight="1" x14ac:dyDescent="0.25">
      <c r="A4" s="2" t="s">
        <v>0</v>
      </c>
      <c r="B4" s="31" t="e">
        <f ca="1">CONCATENATE(Objeto!B4," - Exploremos")</f>
        <v>#REF!</v>
      </c>
      <c r="C4" s="32"/>
    </row>
    <row r="5" spans="1:3" ht="129" customHeight="1" x14ac:dyDescent="0.25">
      <c r="A5" s="2" t="s">
        <v>1</v>
      </c>
      <c r="B5" s="25" t="e">
        <f ca="1">CONCATENATE("Este recurso digital """,B4,""" es el segundo recurso del objeto de aprendizaje """,Objeto!B4,""", que a su vez pertenece a la lección No.",Configuracion!C3," """,Lección!B4,""", la cual pertenece al nivel ","""",Configuracion!B8,""" de la enseñanza del español como segunda lengua, presenta un estímulo que ayuda al aprendiz a integrar su conocimiento previo con el nuevo.")</f>
        <v>#REF!</v>
      </c>
      <c r="C5" s="26"/>
    </row>
    <row r="6" spans="1:3" ht="71.25" customHeight="1" x14ac:dyDescent="0.25">
      <c r="A6" s="2" t="s">
        <v>2</v>
      </c>
      <c r="B6" s="30"/>
      <c r="C6" s="27"/>
    </row>
    <row r="7" spans="1:3" ht="71.25" customHeight="1" x14ac:dyDescent="0.25">
      <c r="A7" s="3" t="s">
        <v>3</v>
      </c>
      <c r="B7" s="25" t="e">
        <f ca="1">Objeto!B7</f>
        <v>#REF!</v>
      </c>
      <c r="C7" s="26"/>
    </row>
    <row r="8" spans="1:3" ht="71.25" customHeight="1" x14ac:dyDescent="0.25">
      <c r="A8" s="3" t="s">
        <v>4</v>
      </c>
      <c r="B8" s="25"/>
      <c r="C8" s="27"/>
    </row>
    <row r="9" spans="1:3" ht="69" customHeight="1" x14ac:dyDescent="0.25">
      <c r="A9" s="3" t="s">
        <v>5</v>
      </c>
      <c r="B9" s="25" t="s">
        <v>35</v>
      </c>
      <c r="C9" s="26"/>
    </row>
    <row r="10" spans="1:3" ht="75.75" customHeight="1" x14ac:dyDescent="0.25">
      <c r="A10" s="3" t="s">
        <v>6</v>
      </c>
      <c r="B10" s="25" t="s">
        <v>36</v>
      </c>
      <c r="C10" s="27"/>
    </row>
    <row r="12" spans="1:3" x14ac:dyDescent="0.25">
      <c r="B12" s="4"/>
    </row>
    <row r="13" spans="1:3" x14ac:dyDescent="0.25">
      <c r="B13" s="4"/>
    </row>
  </sheetData>
  <mergeCells count="9">
    <mergeCell ref="B9:C9"/>
    <mergeCell ref="B10:C10"/>
    <mergeCell ref="A1:C1"/>
    <mergeCell ref="B4:C4"/>
    <mergeCell ref="B5:C5"/>
    <mergeCell ref="B6:C6"/>
    <mergeCell ref="B7:C7"/>
    <mergeCell ref="B8:C8"/>
    <mergeCell ref="B2:C2"/>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C13"/>
  <sheetViews>
    <sheetView topLeftCell="A3" zoomScaleNormal="100" workbookViewId="0">
      <selection activeCell="B4" sqref="B4:C4"/>
    </sheetView>
  </sheetViews>
  <sheetFormatPr baseColWidth="10" defaultRowHeight="15" x14ac:dyDescent="0.25"/>
  <cols>
    <col min="1" max="1" width="30.85546875" customWidth="1"/>
    <col min="2" max="2" width="41" customWidth="1"/>
    <col min="3" max="3" width="42.85546875" customWidth="1"/>
  </cols>
  <sheetData>
    <row r="1" spans="1:3" ht="23.25" x14ac:dyDescent="0.35">
      <c r="A1" s="21" t="s">
        <v>11</v>
      </c>
      <c r="B1" s="21"/>
      <c r="C1" s="21"/>
    </row>
    <row r="2" spans="1:3" ht="184.5" customHeight="1" x14ac:dyDescent="0.25">
      <c r="A2" s="15" t="s">
        <v>25</v>
      </c>
      <c r="B2" s="33" t="s">
        <v>32</v>
      </c>
      <c r="C2" s="34"/>
    </row>
    <row r="3" spans="1:3" ht="27.75" customHeight="1" x14ac:dyDescent="0.25">
      <c r="A3" s="2" t="s">
        <v>16</v>
      </c>
      <c r="B3" s="13" t="str">
        <f>CONCATENATE(Objeto!$B$3,Objeto!$C$3)</f>
        <v>esnxlexxobxx</v>
      </c>
      <c r="C3" s="14" t="s">
        <v>19</v>
      </c>
    </row>
    <row r="4" spans="1:3" ht="39" customHeight="1" x14ac:dyDescent="0.25">
      <c r="A4" s="2" t="s">
        <v>0</v>
      </c>
      <c r="B4" s="31" t="e">
        <f ca="1">CONCATENATE(Objeto!B4," - Practiquemos 1")</f>
        <v>#REF!</v>
      </c>
      <c r="C4" s="32"/>
    </row>
    <row r="5" spans="1:3" ht="129" customHeight="1" x14ac:dyDescent="0.25">
      <c r="A5" s="2" t="s">
        <v>1</v>
      </c>
      <c r="B5" s="25" t="e">
        <f ca="1">CONCATENATE("Este recurso digital """,B4,""" es el tercer recurso del objeto de aprendizaje """,Objeto!B4,""", que a su vez pertenece a la lección No.",Configuracion!C3," """,Lección!B4,""", la cual pertenece al nivel ","""",Configuracion!B8,""" de la enseñanza del español como segunda lengua, tiene la intención de trabajar en actividades que permitan al aprendiz reforzar sus habilidades lingüísticas.")</f>
        <v>#REF!</v>
      </c>
      <c r="C5" s="26"/>
    </row>
    <row r="6" spans="1:3" ht="71.25" customHeight="1" x14ac:dyDescent="0.25">
      <c r="A6" s="2" t="s">
        <v>2</v>
      </c>
      <c r="B6" s="30"/>
      <c r="C6" s="27"/>
    </row>
    <row r="7" spans="1:3" ht="71.25" customHeight="1" x14ac:dyDescent="0.25">
      <c r="A7" s="3" t="s">
        <v>3</v>
      </c>
      <c r="B7" s="25" t="e">
        <f ca="1">Objeto!B7</f>
        <v>#REF!</v>
      </c>
      <c r="C7" s="26"/>
    </row>
    <row r="8" spans="1:3" ht="71.25" customHeight="1" x14ac:dyDescent="0.25">
      <c r="A8" s="3" t="s">
        <v>4</v>
      </c>
      <c r="B8" s="25"/>
      <c r="C8" s="27"/>
    </row>
    <row r="9" spans="1:3" ht="68.25" customHeight="1" x14ac:dyDescent="0.25">
      <c r="A9" s="3" t="s">
        <v>5</v>
      </c>
      <c r="B9" s="25" t="s">
        <v>28</v>
      </c>
      <c r="C9" s="27"/>
    </row>
    <row r="10" spans="1:3" ht="75.75" customHeight="1" x14ac:dyDescent="0.25">
      <c r="A10" s="3" t="s">
        <v>6</v>
      </c>
      <c r="B10" s="25" t="s">
        <v>37</v>
      </c>
      <c r="C10" s="26"/>
    </row>
    <row r="12" spans="1:3" x14ac:dyDescent="0.25">
      <c r="B12" s="4"/>
    </row>
    <row r="13" spans="1:3" x14ac:dyDescent="0.25">
      <c r="B13" s="4"/>
    </row>
  </sheetData>
  <mergeCells count="9">
    <mergeCell ref="B9:C9"/>
    <mergeCell ref="B10:C10"/>
    <mergeCell ref="A1:C1"/>
    <mergeCell ref="B4:C4"/>
    <mergeCell ref="B5:C5"/>
    <mergeCell ref="B6:C6"/>
    <mergeCell ref="B7:C7"/>
    <mergeCell ref="B8:C8"/>
    <mergeCell ref="B2:C2"/>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E13"/>
  <sheetViews>
    <sheetView topLeftCell="A4" zoomScaleNormal="100" workbookViewId="0">
      <selection activeCell="B4" sqref="B4:C4"/>
    </sheetView>
  </sheetViews>
  <sheetFormatPr baseColWidth="10" defaultRowHeight="15" x14ac:dyDescent="0.25"/>
  <cols>
    <col min="1" max="1" width="30.85546875" customWidth="1"/>
    <col min="2" max="2" width="41" customWidth="1"/>
    <col min="3" max="3" width="42.85546875" customWidth="1"/>
    <col min="4" max="4" width="51.140625" customWidth="1"/>
  </cols>
  <sheetData>
    <row r="1" spans="1:5" ht="23.25" x14ac:dyDescent="0.35">
      <c r="A1" s="21" t="s">
        <v>12</v>
      </c>
      <c r="B1" s="21"/>
      <c r="C1" s="21"/>
    </row>
    <row r="2" spans="1:5" ht="181.5" customHeight="1" x14ac:dyDescent="0.25">
      <c r="A2" s="15" t="s">
        <v>25</v>
      </c>
      <c r="B2" s="33" t="s">
        <v>32</v>
      </c>
      <c r="C2" s="34"/>
    </row>
    <row r="3" spans="1:5" ht="27.75" customHeight="1" x14ac:dyDescent="0.25">
      <c r="A3" s="2" t="s">
        <v>16</v>
      </c>
      <c r="B3" s="13" t="str">
        <f>CONCATENATE(Objeto!$B$3,Objeto!$C$3)</f>
        <v>esnxlexxobxx</v>
      </c>
      <c r="C3" s="14" t="s">
        <v>20</v>
      </c>
    </row>
    <row r="4" spans="1:5" ht="39" customHeight="1" x14ac:dyDescent="0.25">
      <c r="A4" s="2" t="s">
        <v>0</v>
      </c>
      <c r="B4" s="31" t="e">
        <f ca="1">CONCATENATE(Objeto!B4," - Practiquemos 2")</f>
        <v>#REF!</v>
      </c>
      <c r="C4" s="32"/>
    </row>
    <row r="5" spans="1:5" ht="207.75" customHeight="1" x14ac:dyDescent="0.25">
      <c r="A5" s="2" t="s">
        <v>1</v>
      </c>
      <c r="B5" s="25" t="e">
        <f ca="1">CONCATENATE("Este recurso digital """,B4,""" es el cuarto recurso del objeto de aprendizaje """,Objeto!B4,""", que a su vez pertenece a la lección No.",Configuracion!C3," """,Lección!B4,""", la cual pertenece al nivel ","""",Configuracion!B8,""" de la enseñanza del español como segunda lengua,  tiene la intención de trabajar en actividades que permitan a los aprendices reforzar sus habilidades lingüísticas.")</f>
        <v>#REF!</v>
      </c>
      <c r="C5" s="26"/>
      <c r="D5" s="35"/>
      <c r="E5" s="36"/>
    </row>
    <row r="6" spans="1:5" ht="71.25" customHeight="1" x14ac:dyDescent="0.25">
      <c r="A6" s="2" t="s">
        <v>2</v>
      </c>
      <c r="B6" s="30"/>
      <c r="C6" s="27"/>
    </row>
    <row r="7" spans="1:5" ht="71.25" customHeight="1" x14ac:dyDescent="0.25">
      <c r="A7" s="3" t="s">
        <v>3</v>
      </c>
      <c r="B7" s="25" t="e">
        <f ca="1">Objeto!B7</f>
        <v>#REF!</v>
      </c>
      <c r="C7" s="26"/>
    </row>
    <row r="8" spans="1:5" ht="71.25" customHeight="1" x14ac:dyDescent="0.25">
      <c r="A8" s="3" t="s">
        <v>4</v>
      </c>
      <c r="B8" s="25"/>
      <c r="C8" s="27"/>
    </row>
    <row r="9" spans="1:5" ht="80.25" customHeight="1" x14ac:dyDescent="0.25">
      <c r="A9" s="3" t="s">
        <v>5</v>
      </c>
      <c r="B9" s="25" t="s">
        <v>28</v>
      </c>
      <c r="C9" s="27"/>
    </row>
    <row r="10" spans="1:5" ht="75.75" customHeight="1" x14ac:dyDescent="0.25">
      <c r="A10" s="3" t="s">
        <v>6</v>
      </c>
      <c r="B10" s="25" t="s">
        <v>38</v>
      </c>
      <c r="C10" s="27"/>
    </row>
    <row r="12" spans="1:5" x14ac:dyDescent="0.25">
      <c r="B12" s="4"/>
    </row>
    <row r="13" spans="1:5" x14ac:dyDescent="0.25">
      <c r="B13" s="4"/>
    </row>
  </sheetData>
  <mergeCells count="10">
    <mergeCell ref="D5:E5"/>
    <mergeCell ref="B9:C9"/>
    <mergeCell ref="B10:C10"/>
    <mergeCell ref="A1:C1"/>
    <mergeCell ref="B4:C4"/>
    <mergeCell ref="B5:C5"/>
    <mergeCell ref="B6:C6"/>
    <mergeCell ref="B7:C7"/>
    <mergeCell ref="B8:C8"/>
    <mergeCell ref="B2:C2"/>
  </mergeCell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E13"/>
  <sheetViews>
    <sheetView topLeftCell="A4" zoomScaleNormal="100" workbookViewId="0">
      <selection activeCell="B4" sqref="B4:C4"/>
    </sheetView>
  </sheetViews>
  <sheetFormatPr baseColWidth="10" defaultRowHeight="15" x14ac:dyDescent="0.25"/>
  <cols>
    <col min="1" max="1" width="30.85546875" customWidth="1"/>
    <col min="2" max="2" width="41" customWidth="1"/>
    <col min="3" max="3" width="42.85546875" customWidth="1"/>
  </cols>
  <sheetData>
    <row r="1" spans="1:5" ht="23.25" x14ac:dyDescent="0.35">
      <c r="A1" s="21" t="s">
        <v>13</v>
      </c>
      <c r="B1" s="21"/>
      <c r="C1" s="21"/>
    </row>
    <row r="2" spans="1:5" ht="183.75" customHeight="1" x14ac:dyDescent="0.25">
      <c r="A2" s="15" t="s">
        <v>25</v>
      </c>
      <c r="B2" s="33" t="s">
        <v>32</v>
      </c>
      <c r="C2" s="34"/>
    </row>
    <row r="3" spans="1:5" ht="27.75" customHeight="1" x14ac:dyDescent="0.25">
      <c r="A3" s="2" t="s">
        <v>16</v>
      </c>
      <c r="B3" s="13" t="str">
        <f>CONCATENATE(Objeto!$B$3,Objeto!$C$3)</f>
        <v>esnxlexxobxx</v>
      </c>
      <c r="C3" s="14" t="s">
        <v>21</v>
      </c>
    </row>
    <row r="4" spans="1:5" ht="39" customHeight="1" x14ac:dyDescent="0.25">
      <c r="A4" s="2" t="s">
        <v>0</v>
      </c>
      <c r="B4" s="31" t="e">
        <f ca="1">CONCATENATE(Objeto!B4," - Practiquemos 3")</f>
        <v>#REF!</v>
      </c>
      <c r="C4" s="32"/>
    </row>
    <row r="5" spans="1:5" ht="108" customHeight="1" x14ac:dyDescent="0.25">
      <c r="A5" s="2" t="s">
        <v>1</v>
      </c>
      <c r="B5" s="25" t="e">
        <f ca="1">CONCATENATE("Este recurso digital """,B4,""" es el quinto recurso del objeto de aprendizaje """,Objeto!B4,""", que a su vez pertenece a la lección No.",Configuracion!C3," """,Lección!B4,""", la cual pertenece al nivel ","""",Configuracion!B8,""" de la enseñanza del español como segunda lengua,  tiene la intención de trabajar en actividades que permitan a los aprendices reforzar sus habilidades lingüísticas.")</f>
        <v>#REF!</v>
      </c>
      <c r="C5" s="26"/>
      <c r="E5" t="s">
        <v>24</v>
      </c>
    </row>
    <row r="6" spans="1:5" ht="71.25" customHeight="1" x14ac:dyDescent="0.25">
      <c r="A6" s="2" t="s">
        <v>2</v>
      </c>
      <c r="B6" s="30"/>
      <c r="C6" s="27"/>
    </row>
    <row r="7" spans="1:5" ht="48.75" customHeight="1" x14ac:dyDescent="0.25">
      <c r="A7" s="3" t="s">
        <v>3</v>
      </c>
      <c r="B7" s="25" t="e">
        <f ca="1">Objeto!B7</f>
        <v>#REF!</v>
      </c>
      <c r="C7" s="26"/>
    </row>
    <row r="8" spans="1:5" ht="69.75" customHeight="1" x14ac:dyDescent="0.25">
      <c r="A8" s="3" t="s">
        <v>4</v>
      </c>
      <c r="B8" s="25"/>
      <c r="C8" s="27"/>
    </row>
    <row r="9" spans="1:5" ht="73.5" customHeight="1" x14ac:dyDescent="0.25">
      <c r="A9" s="3" t="s">
        <v>5</v>
      </c>
      <c r="B9" s="25" t="s">
        <v>27</v>
      </c>
      <c r="C9" s="26"/>
    </row>
    <row r="10" spans="1:5" ht="75.75" customHeight="1" x14ac:dyDescent="0.25">
      <c r="A10" s="3" t="s">
        <v>6</v>
      </c>
      <c r="B10" s="25" t="s">
        <v>39</v>
      </c>
      <c r="C10" s="26"/>
    </row>
    <row r="12" spans="1:5" x14ac:dyDescent="0.25">
      <c r="B12" s="4"/>
    </row>
    <row r="13" spans="1:5" x14ac:dyDescent="0.25">
      <c r="B13" s="4"/>
    </row>
  </sheetData>
  <mergeCells count="9">
    <mergeCell ref="B9:C9"/>
    <mergeCell ref="B10:C10"/>
    <mergeCell ref="A1:C1"/>
    <mergeCell ref="B4:C4"/>
    <mergeCell ref="B5:C5"/>
    <mergeCell ref="B6:C6"/>
    <mergeCell ref="B7:C7"/>
    <mergeCell ref="B8:C8"/>
    <mergeCell ref="B2:C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E13"/>
  <sheetViews>
    <sheetView topLeftCell="A3" zoomScaleNormal="100" workbookViewId="0">
      <selection activeCell="B4" sqref="B4:C4"/>
    </sheetView>
  </sheetViews>
  <sheetFormatPr baseColWidth="10" defaultRowHeight="15" x14ac:dyDescent="0.25"/>
  <cols>
    <col min="1" max="1" width="30.85546875" customWidth="1"/>
    <col min="2" max="2" width="41" customWidth="1"/>
    <col min="3" max="3" width="42.85546875" customWidth="1"/>
    <col min="5" max="5" width="60.140625" customWidth="1"/>
  </cols>
  <sheetData>
    <row r="1" spans="1:5" ht="23.25" x14ac:dyDescent="0.35">
      <c r="A1" s="21" t="s">
        <v>14</v>
      </c>
      <c r="B1" s="21"/>
      <c r="C1" s="21"/>
    </row>
    <row r="2" spans="1:5" ht="180.75" customHeight="1" x14ac:dyDescent="0.25">
      <c r="A2" s="15" t="s">
        <v>25</v>
      </c>
      <c r="B2" s="33" t="s">
        <v>32</v>
      </c>
      <c r="C2" s="34"/>
    </row>
    <row r="3" spans="1:5" ht="27.75" customHeight="1" x14ac:dyDescent="0.25">
      <c r="A3" s="2" t="s">
        <v>16</v>
      </c>
      <c r="B3" s="13" t="str">
        <f>CONCATENATE(Objeto!$B$3,Objeto!$C$3)</f>
        <v>esnxlexxobxx</v>
      </c>
      <c r="C3" s="14" t="s">
        <v>22</v>
      </c>
    </row>
    <row r="4" spans="1:5" ht="39" customHeight="1" x14ac:dyDescent="0.25">
      <c r="A4" s="2" t="s">
        <v>0</v>
      </c>
      <c r="B4" s="31" t="e">
        <f ca="1">CONCATENATE(Objeto!B4," - Evaluemos")</f>
        <v>#REF!</v>
      </c>
      <c r="C4" s="32"/>
    </row>
    <row r="5" spans="1:5" ht="147.75" customHeight="1" x14ac:dyDescent="0.25">
      <c r="A5" s="2" t="s">
        <v>1</v>
      </c>
      <c r="B5" s="25" t="e">
        <f ca="1">CONCATENATE("Este recurso digital """,B4,""" es el sexto recurso del objeto de aprendizaje """,Objeto!B4,""", que a su vez pertenece a la lección No.",Configuracion!C3," """,Lección!B4,""", la cual pertenece al nivel ","""",Configuracion!B8,""" de la enseñanza del español como segunda lengua,  tiene como objetivo evaluar los conocimientos adquiridos por el aprendiz.")</f>
        <v>#REF!</v>
      </c>
      <c r="C5" s="26"/>
      <c r="D5" s="35"/>
      <c r="E5" s="36"/>
    </row>
    <row r="6" spans="1:5" ht="71.25" customHeight="1" x14ac:dyDescent="0.25">
      <c r="A6" s="2" t="s">
        <v>2</v>
      </c>
      <c r="B6" s="25"/>
      <c r="C6" s="27"/>
    </row>
    <row r="7" spans="1:5" ht="48.75" customHeight="1" x14ac:dyDescent="0.25">
      <c r="A7" s="3" t="s">
        <v>3</v>
      </c>
      <c r="B7" s="25" t="e">
        <f ca="1">Objeto!B7</f>
        <v>#REF!</v>
      </c>
      <c r="C7" s="26"/>
    </row>
    <row r="8" spans="1:5" ht="69.75" customHeight="1" x14ac:dyDescent="0.25">
      <c r="A8" s="3" t="s">
        <v>4</v>
      </c>
      <c r="B8" s="25"/>
      <c r="C8" s="27"/>
    </row>
    <row r="9" spans="1:5" ht="54.75" customHeight="1" x14ac:dyDescent="0.25">
      <c r="A9" s="3" t="s">
        <v>5</v>
      </c>
      <c r="B9" s="25" t="s">
        <v>40</v>
      </c>
      <c r="C9" s="26"/>
    </row>
    <row r="10" spans="1:5" ht="75.75" customHeight="1" x14ac:dyDescent="0.25">
      <c r="A10" s="3" t="s">
        <v>6</v>
      </c>
      <c r="B10" s="25" t="s">
        <v>41</v>
      </c>
      <c r="C10" s="26"/>
    </row>
    <row r="12" spans="1:5" x14ac:dyDescent="0.25">
      <c r="B12" s="4"/>
    </row>
    <row r="13" spans="1:5" x14ac:dyDescent="0.25">
      <c r="B13" s="4"/>
    </row>
  </sheetData>
  <mergeCells count="10">
    <mergeCell ref="D5:E5"/>
    <mergeCell ref="B9:C9"/>
    <mergeCell ref="B10:C10"/>
    <mergeCell ref="A1:C1"/>
    <mergeCell ref="B4:C4"/>
    <mergeCell ref="B5:C5"/>
    <mergeCell ref="B6:C6"/>
    <mergeCell ref="B7:C7"/>
    <mergeCell ref="B8:C8"/>
    <mergeCell ref="B2:C2"/>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F13"/>
  <sheetViews>
    <sheetView zoomScaleNormal="100" workbookViewId="0">
      <selection activeCell="B5" sqref="B5:C5"/>
    </sheetView>
  </sheetViews>
  <sheetFormatPr baseColWidth="10" defaultRowHeight="15" x14ac:dyDescent="0.25"/>
  <cols>
    <col min="1" max="1" width="30.85546875" customWidth="1"/>
    <col min="2" max="2" width="41" customWidth="1"/>
    <col min="3" max="3" width="42.85546875" customWidth="1"/>
  </cols>
  <sheetData>
    <row r="1" spans="1:6" ht="23.25" x14ac:dyDescent="0.35">
      <c r="A1" s="21" t="s">
        <v>15</v>
      </c>
      <c r="B1" s="21"/>
      <c r="C1" s="21"/>
    </row>
    <row r="2" spans="1:6" ht="195" customHeight="1" x14ac:dyDescent="0.25">
      <c r="A2" s="15" t="s">
        <v>25</v>
      </c>
      <c r="B2" s="33" t="s">
        <v>32</v>
      </c>
      <c r="C2" s="34"/>
    </row>
    <row r="3" spans="1:6" ht="27.75" customHeight="1" x14ac:dyDescent="0.25">
      <c r="A3" s="2" t="s">
        <v>16</v>
      </c>
      <c r="B3" s="13" t="str">
        <f>CONCATENATE(Objeto!$B$3,Objeto!$C$3)</f>
        <v>esnxlexxobxx</v>
      </c>
      <c r="C3" s="14" t="s">
        <v>23</v>
      </c>
    </row>
    <row r="4" spans="1:6" ht="39" customHeight="1" x14ac:dyDescent="0.25">
      <c r="A4" s="2" t="s">
        <v>0</v>
      </c>
      <c r="B4" s="31" t="e">
        <f ca="1">CONCATENATE(Objeto!B4," - Aprendamos en papel")</f>
        <v>#REF!</v>
      </c>
      <c r="C4" s="32"/>
    </row>
    <row r="5" spans="1:6" ht="129" customHeight="1" x14ac:dyDescent="0.25">
      <c r="A5" s="2" t="s">
        <v>1</v>
      </c>
      <c r="B5" s="25" t="e">
        <f ca="1">CONCATENATE("Este recurso digital """,B4,""" es el séptimo recurso del objeto de aprendizaje """,Objeto!B4,""", que a su vez pertenece a la lección No.",Configuracion!C3," """,Lección!B4,""", la cual pertenece al nivel ","""",Configuracion!B8,""" de la enseñanza del español como segunda lengua, tiene por objeto servir de apoyo imprimible para ser usado tanto en clase como fuera de ella.")</f>
        <v>#REF!</v>
      </c>
      <c r="C5" s="26"/>
      <c r="E5" t="s">
        <v>24</v>
      </c>
      <c r="F5" t="s">
        <v>24</v>
      </c>
    </row>
    <row r="6" spans="1:6" ht="71.25" customHeight="1" x14ac:dyDescent="0.25">
      <c r="A6" s="2" t="s">
        <v>2</v>
      </c>
      <c r="B6" s="25"/>
      <c r="C6" s="26"/>
    </row>
    <row r="7" spans="1:6" ht="63.75" customHeight="1" x14ac:dyDescent="0.25">
      <c r="A7" s="3" t="s">
        <v>3</v>
      </c>
      <c r="B7" s="25" t="e">
        <f ca="1">Objeto!B7</f>
        <v>#REF!</v>
      </c>
      <c r="C7" s="26"/>
    </row>
    <row r="8" spans="1:6" ht="69.75" customHeight="1" x14ac:dyDescent="0.25">
      <c r="A8" s="3" t="s">
        <v>4</v>
      </c>
      <c r="B8" s="25"/>
      <c r="C8" s="27"/>
    </row>
    <row r="9" spans="1:6" ht="54.75" customHeight="1" x14ac:dyDescent="0.25">
      <c r="A9" s="3" t="s">
        <v>5</v>
      </c>
      <c r="B9" s="25" t="s">
        <v>29</v>
      </c>
      <c r="C9" s="26"/>
    </row>
    <row r="10" spans="1:6" ht="75.75" customHeight="1" x14ac:dyDescent="0.25">
      <c r="A10" s="3" t="s">
        <v>6</v>
      </c>
      <c r="B10" s="25" t="s">
        <v>42</v>
      </c>
      <c r="C10" s="26"/>
    </row>
    <row r="12" spans="1:6" x14ac:dyDescent="0.25">
      <c r="B12" s="4"/>
    </row>
    <row r="13" spans="1:6" x14ac:dyDescent="0.25">
      <c r="B13" s="4"/>
    </row>
  </sheetData>
  <mergeCells count="9">
    <mergeCell ref="B9:C9"/>
    <mergeCell ref="B10:C10"/>
    <mergeCell ref="A1:C1"/>
    <mergeCell ref="B4:C4"/>
    <mergeCell ref="B5:C5"/>
    <mergeCell ref="B6:C6"/>
    <mergeCell ref="B7:C7"/>
    <mergeCell ref="B8:C8"/>
    <mergeCell ref="B2:C2"/>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10</vt:i4>
      </vt:variant>
    </vt:vector>
  </HeadingPairs>
  <TitlesOfParts>
    <vt:vector size="10" baseType="lpstr">
      <vt:lpstr>Configuracion</vt:lpstr>
      <vt:lpstr>Lección</vt:lpstr>
      <vt:lpstr>Objeto</vt:lpstr>
      <vt:lpstr>Recurso1</vt:lpstr>
      <vt:lpstr>Recurso2</vt:lpstr>
      <vt:lpstr>Recurso3</vt:lpstr>
      <vt:lpstr>Recurso4</vt:lpstr>
      <vt:lpstr>Recurso5</vt:lpstr>
      <vt:lpstr>Recurso6</vt:lpstr>
      <vt:lpstr>Recurso7</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Luis Gabriel Toscano Rodriguez</dc:creator>
  <cp:lastModifiedBy>Luis Gabriel Toscano Rodriguez</cp:lastModifiedBy>
  <dcterms:created xsi:type="dcterms:W3CDTF">2015-04-29T16:52:35Z</dcterms:created>
  <dcterms:modified xsi:type="dcterms:W3CDTF">2015-05-07T15:42:05Z</dcterms:modified>
</cp:coreProperties>
</file>